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code\EXCEL\"/>
    </mc:Choice>
  </mc:AlternateContent>
  <xr:revisionPtr revIDLastSave="0" documentId="13_ncr:1_{7CA069EB-F142-42ED-825F-BE69784E0C10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14" i="1" l="1"/>
  <c r="G15" i="1"/>
  <c r="G13" i="1"/>
  <c r="F14" i="1"/>
  <c r="F15" i="1"/>
  <c r="F13" i="1"/>
  <c r="F16" i="1"/>
  <c r="I3" i="1"/>
  <c r="I2" i="1"/>
</calcChain>
</file>

<file path=xl/sharedStrings.xml><?xml version="1.0" encoding="utf-8"?>
<sst xmlns="http://schemas.openxmlformats.org/spreadsheetml/2006/main" count="41" uniqueCount="33">
  <si>
    <t>EmployeeID</t>
  </si>
  <si>
    <t>Name</t>
  </si>
  <si>
    <t>Department</t>
  </si>
  <si>
    <t>Salary</t>
  </si>
  <si>
    <t>JoiningDate</t>
  </si>
  <si>
    <t>PerformanceScore</t>
  </si>
  <si>
    <t>BonusPercent</t>
  </si>
  <si>
    <t>Alice</t>
  </si>
  <si>
    <t>Bob</t>
  </si>
  <si>
    <t>Charlie</t>
  </si>
  <si>
    <t>David</t>
  </si>
  <si>
    <t>Eva</t>
  </si>
  <si>
    <t>Frank</t>
  </si>
  <si>
    <t>Grace</t>
  </si>
  <si>
    <t>Helen</t>
  </si>
  <si>
    <t>HR</t>
  </si>
  <si>
    <t>Finance</t>
  </si>
  <si>
    <t>IT</t>
  </si>
  <si>
    <t>2018-03-15</t>
  </si>
  <si>
    <t>2019-07-22</t>
  </si>
  <si>
    <t>2020-01-10</t>
  </si>
  <si>
    <t>2018-11-30</t>
  </si>
  <si>
    <t>2021-05-18</t>
  </si>
  <si>
    <t>2017-09-25</t>
  </si>
  <si>
    <t>2019-12-01</t>
  </si>
  <si>
    <t>2020-08-20</t>
  </si>
  <si>
    <t>x</t>
  </si>
  <si>
    <t>DEPARTMENT</t>
  </si>
  <si>
    <t>FINANCE</t>
  </si>
  <si>
    <t>COUNTIF</t>
  </si>
  <si>
    <t>SUMIF</t>
  </si>
  <si>
    <t>DROPDOWN LIST</t>
  </si>
  <si>
    <t>Conditional formating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</si>
</sst>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F22" sqref="F22"/>
    </sheetView>
  </sheetViews>
  <sheetFormatPr defaultRowHeight="14.4" x14ac:dyDescent="0.3"/>
  <cols>
    <col min="1" max="1" width="12.5546875" customWidth="1"/>
    <col min="2" max="2" width="13.44140625" customWidth="1"/>
    <col min="3" max="3" width="11.6640625" customWidth="1"/>
    <col min="4" max="4" width="12.6640625" customWidth="1"/>
    <col min="5" max="5" width="17.6640625" customWidth="1"/>
    <col min="6" max="6" width="20" customWidth="1"/>
    <col min="7" max="7" width="15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">
      <c r="A2" s="2">
        <v>101</v>
      </c>
      <c r="B2" s="2" t="s">
        <v>7</v>
      </c>
      <c r="C2" s="2" t="s">
        <v>15</v>
      </c>
      <c r="D2" s="2">
        <v>45000</v>
      </c>
      <c r="E2" s="2" t="s">
        <v>18</v>
      </c>
      <c r="F2" s="2">
        <v>88</v>
      </c>
      <c r="G2" s="2">
        <v>10</v>
      </c>
      <c r="I2">
        <f>SUM(F2:F9)</f>
        <v>605</v>
      </c>
    </row>
    <row r="3" spans="1:9" x14ac:dyDescent="0.3">
      <c r="A3" s="2">
        <v>102</v>
      </c>
      <c r="B3" s="2" t="s">
        <v>8</v>
      </c>
      <c r="C3" s="2" t="s">
        <v>16</v>
      </c>
      <c r="D3" s="2">
        <v>55000</v>
      </c>
      <c r="E3" s="2" t="s">
        <v>19</v>
      </c>
      <c r="F3" s="2">
        <v>92</v>
      </c>
      <c r="G3" s="2">
        <v>12</v>
      </c>
      <c r="I3">
        <f>AVERAGE(F2:F9)</f>
        <v>86.428571428571431</v>
      </c>
    </row>
    <row r="4" spans="1:9" x14ac:dyDescent="0.3">
      <c r="A4" s="2">
        <v>103</v>
      </c>
      <c r="B4" s="2" t="s">
        <v>9</v>
      </c>
      <c r="C4" s="2" t="s">
        <v>17</v>
      </c>
      <c r="D4" s="2">
        <v>60000</v>
      </c>
      <c r="E4" s="2" t="s">
        <v>20</v>
      </c>
      <c r="F4" s="2">
        <v>76</v>
      </c>
      <c r="G4" s="2">
        <v>8</v>
      </c>
    </row>
    <row r="5" spans="1:9" x14ac:dyDescent="0.3">
      <c r="A5" s="2">
        <v>104</v>
      </c>
      <c r="B5" s="2" t="s">
        <v>10</v>
      </c>
      <c r="C5" s="2" t="s">
        <v>17</v>
      </c>
      <c r="D5" s="2">
        <v>58000</v>
      </c>
      <c r="E5" s="2" t="s">
        <v>21</v>
      </c>
      <c r="F5" s="2" t="s">
        <v>26</v>
      </c>
      <c r="G5" s="2">
        <v>9</v>
      </c>
    </row>
    <row r="6" spans="1:9" x14ac:dyDescent="0.3">
      <c r="A6" s="2">
        <v>105</v>
      </c>
      <c r="B6" s="2" t="s">
        <v>11</v>
      </c>
      <c r="C6" s="2" t="s">
        <v>15</v>
      </c>
      <c r="D6" s="2">
        <v>47000</v>
      </c>
      <c r="E6" s="2" t="s">
        <v>22</v>
      </c>
      <c r="F6" s="2">
        <v>90</v>
      </c>
      <c r="G6" s="2">
        <v>11</v>
      </c>
    </row>
    <row r="7" spans="1:9" x14ac:dyDescent="0.3">
      <c r="A7" s="2">
        <v>106</v>
      </c>
      <c r="B7" s="2" t="s">
        <v>12</v>
      </c>
      <c r="C7" s="2" t="s">
        <v>16</v>
      </c>
      <c r="D7" s="2">
        <v>62000</v>
      </c>
      <c r="E7" s="2" t="s">
        <v>23</v>
      </c>
      <c r="F7" s="2">
        <v>95</v>
      </c>
      <c r="G7" s="2">
        <v>13</v>
      </c>
    </row>
    <row r="8" spans="1:9" x14ac:dyDescent="0.3">
      <c r="A8" s="2">
        <v>107</v>
      </c>
      <c r="B8" s="2" t="s">
        <v>13</v>
      </c>
      <c r="C8" s="2" t="s">
        <v>17</v>
      </c>
      <c r="D8" s="2">
        <v>65000</v>
      </c>
      <c r="E8" s="2" t="s">
        <v>24</v>
      </c>
      <c r="F8" s="2">
        <v>80</v>
      </c>
      <c r="G8" s="2">
        <v>7</v>
      </c>
    </row>
    <row r="9" spans="1:9" x14ac:dyDescent="0.3">
      <c r="A9" s="2">
        <v>108</v>
      </c>
      <c r="B9" s="2" t="s">
        <v>14</v>
      </c>
      <c r="C9" s="2" t="s">
        <v>15</v>
      </c>
      <c r="D9" s="2">
        <v>49000</v>
      </c>
      <c r="E9" s="2" t="s">
        <v>25</v>
      </c>
      <c r="F9" s="2">
        <v>84</v>
      </c>
      <c r="G9" s="2">
        <v>10</v>
      </c>
    </row>
    <row r="12" spans="1:9" x14ac:dyDescent="0.3">
      <c r="E12" s="2" t="s">
        <v>27</v>
      </c>
      <c r="F12" s="2" t="s">
        <v>29</v>
      </c>
      <c r="G12" s="2" t="s">
        <v>30</v>
      </c>
    </row>
    <row r="13" spans="1:9" x14ac:dyDescent="0.3">
      <c r="E13" s="2" t="s">
        <v>15</v>
      </c>
      <c r="F13" s="2">
        <f>COUNTIF(C2:C9,E13)</f>
        <v>3</v>
      </c>
      <c r="G13" s="2">
        <f>SUMIF(C2:C9,E13,D2:D9)</f>
        <v>141000</v>
      </c>
    </row>
    <row r="14" spans="1:9" x14ac:dyDescent="0.3">
      <c r="E14" s="2" t="s">
        <v>28</v>
      </c>
      <c r="F14" s="2">
        <f t="shared" ref="F14:F15" si="0">COUNTIF(C3:C10,E14)</f>
        <v>2</v>
      </c>
      <c r="G14" s="2">
        <f t="shared" ref="G14:G15" si="1">SUMIF(C3:C10,E14,D3:D10)</f>
        <v>117000</v>
      </c>
    </row>
    <row r="15" spans="1:9" x14ac:dyDescent="0.3">
      <c r="E15" s="2" t="s">
        <v>17</v>
      </c>
      <c r="F15" s="2">
        <f t="shared" si="0"/>
        <v>3</v>
      </c>
      <c r="G15" s="2">
        <f t="shared" si="1"/>
        <v>183000</v>
      </c>
    </row>
    <row r="16" spans="1:9" x14ac:dyDescent="0.3">
      <c r="E16" s="2"/>
      <c r="F16" s="2">
        <f>COUNT(F2:F9)</f>
        <v>7</v>
      </c>
      <c r="G16" s="2"/>
    </row>
    <row r="18" spans="6:6" x14ac:dyDescent="0.3">
      <c r="F18" t="s">
        <v>31</v>
      </c>
    </row>
    <row r="19" spans="6:6" x14ac:dyDescent="0.3">
      <c r="F19" t="s">
        <v>10</v>
      </c>
    </row>
    <row r="21" spans="6:6" x14ac:dyDescent="0.3">
      <c r="F21" t="s">
        <v>32</v>
      </c>
    </row>
  </sheetData>
  <conditionalFormatting sqref="D2:D9">
    <cfRule type="cellIs" dxfId="0" priority="2" operator="greaterThan">
      <formula>50000</formula>
    </cfRule>
    <cfRule type="cellIs" dxfId="1" priority="1" operator="lessThan">
      <formula>50000</formula>
    </cfRule>
  </conditionalFormatting>
  <dataValidations count="2">
    <dataValidation type="list" allowBlank="1" showInputMessage="1" showErrorMessage="1" sqref="F19" xr:uid="{9C02FCCC-2876-467E-9E68-4706027FD9DD}">
      <formula1>$B$2:$B$9</formula1>
    </dataValidation>
    <dataValidation type="list" allowBlank="1" showInputMessage="1" showErrorMessage="1" sqref="E13" xr:uid="{5EA79E92-C12E-464D-B030-A007F5E04DBE}">
      <formula1>$E$13:$E$15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2025-09-23T20:17:08Z</dcterms:created>
  <dcterms:modified xsi:type="dcterms:W3CDTF">2025-09-24T13:49:20Z</dcterms:modified>
</cp:coreProperties>
</file>